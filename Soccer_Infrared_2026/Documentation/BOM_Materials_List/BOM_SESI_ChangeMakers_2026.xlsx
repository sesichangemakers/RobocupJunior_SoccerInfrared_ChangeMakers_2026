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D16F902A-7A0F-4521-B1D6-2C7AFB14358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" l="1"/>
  <c r="J54" i="1"/>
  <c r="J13" i="1"/>
  <c r="J50" i="1"/>
  <c r="J49" i="1"/>
  <c r="J48" i="1"/>
  <c r="J47" i="1"/>
  <c r="J46" i="1"/>
  <c r="J45" i="1"/>
  <c r="J44" i="1"/>
  <c r="J43" i="1"/>
  <c r="J42" i="1"/>
  <c r="J41" i="1"/>
  <c r="J40" i="1"/>
  <c r="J39" i="1"/>
  <c r="J20" i="1"/>
  <c r="J19" i="1"/>
  <c r="J18" i="1"/>
  <c r="J17" i="1"/>
  <c r="J33" i="1"/>
  <c r="J23" i="1"/>
  <c r="J24" i="1"/>
  <c r="J11" i="1"/>
  <c r="J38" i="1"/>
  <c r="J37" i="1"/>
  <c r="J36" i="1"/>
  <c r="J51" i="1"/>
  <c r="J35" i="1"/>
  <c r="J34" i="1"/>
  <c r="J28" i="1"/>
  <c r="J5" i="1"/>
  <c r="J26" i="1"/>
  <c r="J31" i="1"/>
  <c r="J32" i="1"/>
  <c r="J27" i="1"/>
  <c r="J21" i="1"/>
  <c r="J12" i="1"/>
  <c r="J10" i="1"/>
  <c r="J9" i="1"/>
  <c r="J8" i="1"/>
  <c r="J7" i="1"/>
</calcChain>
</file>

<file path=xl/sharedStrings.xml><?xml version="1.0" encoding="utf-8"?>
<sst xmlns="http://schemas.openxmlformats.org/spreadsheetml/2006/main" count="402" uniqueCount="180">
  <si>
    <t>Lista de Materias (BOM) SESI ChangeMakers - Americana, SP</t>
  </si>
  <si>
    <t xml:space="preserve">Item </t>
  </si>
  <si>
    <t>Categoria</t>
  </si>
  <si>
    <t>Nome/Descrição do Componente</t>
  </si>
  <si>
    <t>Quantidade (un.)</t>
  </si>
  <si>
    <t>Referência/Modelo</t>
  </si>
  <si>
    <t>Fornecedor</t>
  </si>
  <si>
    <t>Status</t>
  </si>
  <si>
    <t>Kit/Personalizado</t>
  </si>
  <si>
    <t>Preço Unitário (R$)</t>
  </si>
  <si>
    <t>Subtotal (R$)</t>
  </si>
  <si>
    <t>Apoiador</t>
  </si>
  <si>
    <t>Observações</t>
  </si>
  <si>
    <t>Estrutura Mecânica</t>
  </si>
  <si>
    <t>Chassi Impressão 3D</t>
  </si>
  <si>
    <t>Personalizado</t>
  </si>
  <si>
    <t>-</t>
  </si>
  <si>
    <t>Novo</t>
  </si>
  <si>
    <t>SESI - SP</t>
  </si>
  <si>
    <t>Estrutura principal do robô e suporte dos componentes</t>
  </si>
  <si>
    <t>Motorização</t>
  </si>
  <si>
    <t>Motor DC com caixa de redução</t>
  </si>
  <si>
    <t>Motor 25GA370</t>
  </si>
  <si>
    <t>NEWPORT ROBOTICA</t>
  </si>
  <si>
    <t xml:space="preserve">Kit </t>
  </si>
  <si>
    <t>Responsável pela locomoção do robô</t>
  </si>
  <si>
    <t>Roda omni 50mm</t>
  </si>
  <si>
    <t>Rodas de fabricação própria</t>
  </si>
  <si>
    <t>Permite movimentação omnidirecional</t>
  </si>
  <si>
    <t>Controle Principal</t>
  </si>
  <si>
    <t>Esp32 S3 DevKit</t>
  </si>
  <si>
    <t>Módulo Wifi Bluetooth</t>
  </si>
  <si>
    <t>AUTOCORE</t>
  </si>
  <si>
    <t>Microcontroladores principais do robô</t>
  </si>
  <si>
    <t>Controle Motor</t>
  </si>
  <si>
    <t xml:space="preserve">Driver de motor </t>
  </si>
  <si>
    <t>Drivers de motor TB6612FNG</t>
  </si>
  <si>
    <t>Controle de velocidade e direção dos motores</t>
  </si>
  <si>
    <t>Sensores de Bola</t>
  </si>
  <si>
    <t>TSOP2240</t>
  </si>
  <si>
    <t>Vishay TSOP2240</t>
  </si>
  <si>
    <t>ROBOCORE TECNOLOGIA</t>
  </si>
  <si>
    <t>Kit</t>
  </si>
  <si>
    <t>Montados na borda da placa circular (IR Seeker)</t>
  </si>
  <si>
    <t>Sensores de Linha</t>
  </si>
  <si>
    <t>Multiplexador 16 canais</t>
  </si>
  <si>
    <t>CD74HC4067</t>
  </si>
  <si>
    <t>Multiplexação dos LDRs</t>
  </si>
  <si>
    <t>Sensor de Campo</t>
  </si>
  <si>
    <t xml:space="preserve">Bússola digital </t>
  </si>
  <si>
    <t>Módulo Bússola HMC5883L</t>
  </si>
  <si>
    <t>Para alinhamento em campo</t>
  </si>
  <si>
    <t>Sensor ultrassônico HC-SR04</t>
  </si>
  <si>
    <t>HC-SR04</t>
  </si>
  <si>
    <t>Frente, trás, esquerda, direita</t>
  </si>
  <si>
    <t>Visão Computacional</t>
  </si>
  <si>
    <t>Câmera com microcontrolador</t>
  </si>
  <si>
    <t>OpenMV Cam RT1062</t>
  </si>
  <si>
    <t>Processamento visual e identificação de objetos</t>
  </si>
  <si>
    <t>Interface</t>
  </si>
  <si>
    <t>Display OLED</t>
  </si>
  <si>
    <t>0.96” I2C</t>
  </si>
  <si>
    <t>Para debug</t>
  </si>
  <si>
    <t>Botão liga/desliga</t>
  </si>
  <si>
    <t>Uso como chave geral</t>
  </si>
  <si>
    <t>Voltímetro digital</t>
  </si>
  <si>
    <t>3 Digitos 4,5V a 30VDC</t>
  </si>
  <si>
    <t>Monitoramento de tensão geral da bateria</t>
  </si>
  <si>
    <t>Placa personalizada</t>
  </si>
  <si>
    <t>PCB circular superior</t>
  </si>
  <si>
    <t>EasyEDA/Personalizada</t>
  </si>
  <si>
    <t>TEC CI TECNOLOGIA</t>
  </si>
  <si>
    <t>Sustentação e integração eletrônica</t>
  </si>
  <si>
    <t>PCB circular principal</t>
  </si>
  <si>
    <t>Distribuição dos sinais principais</t>
  </si>
  <si>
    <t>PCB circular chutador</t>
  </si>
  <si>
    <t>Acionamento eletrônico para chute</t>
  </si>
  <si>
    <t>PCB circular inferior</t>
  </si>
  <si>
    <t>Base estrutural e elétrica do sistema</t>
  </si>
  <si>
    <t>Sensor de Linha</t>
  </si>
  <si>
    <t>Sensor fotoresitor LDR</t>
  </si>
  <si>
    <t>5MM</t>
  </si>
  <si>
    <t>RYNDACK COMERCIO</t>
  </si>
  <si>
    <t>Detecção da linha branca do campo</t>
  </si>
  <si>
    <t>Alimentação</t>
  </si>
  <si>
    <t>Módulo regulador de tensão</t>
  </si>
  <si>
    <t>Conversor Step-Down Mini 560</t>
  </si>
  <si>
    <t>Faz o fornecimento de energia pra placa principal</t>
  </si>
  <si>
    <t>Módulo eletrônico step-up</t>
  </si>
  <si>
    <t>Conversor boost XL6009</t>
  </si>
  <si>
    <t>Eleva a tensão pra placa do kicker</t>
  </si>
  <si>
    <t>Capacitor de 2200 µF</t>
  </si>
  <si>
    <t>Filtragem e estabilização de tensão</t>
  </si>
  <si>
    <t>Capacitor Eletrolítico 2,2 UF</t>
  </si>
  <si>
    <t>2,2 UF 16V</t>
  </si>
  <si>
    <t>Redução de oscilações e ruídos da alimentação</t>
  </si>
  <si>
    <t>Capacitor de 1000µ</t>
  </si>
  <si>
    <t>Capacitor 1000µFx63V</t>
  </si>
  <si>
    <t>Filtragem auxiliar da alimentação</t>
  </si>
  <si>
    <t>Sensor de Iluminação</t>
  </si>
  <si>
    <t xml:space="preserve">LEDs Vermelhos </t>
  </si>
  <si>
    <t>1.8-2.2V</t>
  </si>
  <si>
    <t>Controla a iluminação da superfície</t>
  </si>
  <si>
    <t>Bateria de Lipo</t>
  </si>
  <si>
    <t>11.1 v 2200 mah</t>
  </si>
  <si>
    <t>Fonte principal de energia do robô</t>
  </si>
  <si>
    <t>Optoacoplador PC817</t>
  </si>
  <si>
    <t>Fotoisolador</t>
  </si>
  <si>
    <t>Protege a eletrônica de controle contra ruídos e picos de tensão</t>
  </si>
  <si>
    <t>Espelho Convexo</t>
  </si>
  <si>
    <t>Amplia o campo de visão da câmera</t>
  </si>
  <si>
    <t>Chave táctil</t>
  </si>
  <si>
    <t>(Push-Button) 6X6X5,0MM</t>
  </si>
  <si>
    <t>Acionamento rápido de funções do sistema</t>
  </si>
  <si>
    <t>Campana de motor</t>
  </si>
  <si>
    <t>Acoplador p/eixo de 4mm</t>
  </si>
  <si>
    <t>Acoplamento mecânico entre roda e motor</t>
  </si>
  <si>
    <t>Controle Solenóide</t>
  </si>
  <si>
    <t>MOSFET IRLZ44N</t>
  </si>
  <si>
    <t>IRLZ44N</t>
  </si>
  <si>
    <t>Chaveamento eletrônico do sistema de potência</t>
  </si>
  <si>
    <t>Conector KRE</t>
  </si>
  <si>
    <t>2 Vias por bloco Passo 5MM</t>
  </si>
  <si>
    <t>Facilita conexões removíveis da eletrônica</t>
  </si>
  <si>
    <t xml:space="preserve">Diodo Schottky </t>
  </si>
  <si>
    <t>1N5819 40V 1A</t>
  </si>
  <si>
    <t>Proteção contra corrente reversa</t>
  </si>
  <si>
    <t>Conector KK Fêmea 4 Vias</t>
  </si>
  <si>
    <t>Fêmea 2,5mm 4 Vias</t>
  </si>
  <si>
    <t>Comunicação entre sensores e placas</t>
  </si>
  <si>
    <t xml:space="preserve">Resistor 220 OHMS </t>
  </si>
  <si>
    <t>220 OHMS 1/4 WATT</t>
  </si>
  <si>
    <t>Limitação de corrente elétrica</t>
  </si>
  <si>
    <t>Resistor 10 OHMS</t>
  </si>
  <si>
    <t>10 OHMS X 1/4W</t>
  </si>
  <si>
    <t>Ajuste e proteção de sinais eletrônicos</t>
  </si>
  <si>
    <t>Concetor KK 2 Vias Macho</t>
  </si>
  <si>
    <t>Macho 180° 2,54mm</t>
  </si>
  <si>
    <t>Conexão de alimentação e sinais</t>
  </si>
  <si>
    <t>Conector KK Fêmea 2 Vias</t>
  </si>
  <si>
    <t>Fêmea 2,5MM 2 VIAS</t>
  </si>
  <si>
    <t>Interface removível entre módulos</t>
  </si>
  <si>
    <t xml:space="preserve">Chave Fim de curso </t>
  </si>
  <si>
    <t>Micro Switch</t>
  </si>
  <si>
    <t>Detecção mecânica de posição</t>
  </si>
  <si>
    <t>Resistor FIlme Carbono</t>
  </si>
  <si>
    <t>100 OHMS 1/4W</t>
  </si>
  <si>
    <t>Controle e divisão de tensão</t>
  </si>
  <si>
    <t>Atuador</t>
  </si>
  <si>
    <t>Mini Trava Elétrica Solenóide 12V</t>
  </si>
  <si>
    <t>12V</t>
  </si>
  <si>
    <t>Acionamento mecânico eletromagnético</t>
  </si>
  <si>
    <t>Transistor BC327</t>
  </si>
  <si>
    <t>Amplificação e chaveamento eletrônico</t>
  </si>
  <si>
    <t>Transistor BC337</t>
  </si>
  <si>
    <t>Controle de sinais e acionamentos</t>
  </si>
  <si>
    <t>Resistor 100k OHMS</t>
  </si>
  <si>
    <t>100K OHMS X 1/4W</t>
  </si>
  <si>
    <t>Pull-up e estabilização lógica</t>
  </si>
  <si>
    <t>Capacitor Cerâmico Disco</t>
  </si>
  <si>
    <t>50V 100NF</t>
  </si>
  <si>
    <t>Filtragem de ruídos de alta frequência</t>
  </si>
  <si>
    <t xml:space="preserve">Capacitor Eletrolítico </t>
  </si>
  <si>
    <t>470UF/25V</t>
  </si>
  <si>
    <t>Estabilização da alimentação elétrica</t>
  </si>
  <si>
    <t>Diodo Retificador 20A 60V</t>
  </si>
  <si>
    <t>20A 60V</t>
  </si>
  <si>
    <t xml:space="preserve">Novo </t>
  </si>
  <si>
    <t>Retificação e proteção contra sobrecorrente</t>
  </si>
  <si>
    <t>Tubo Acrílico</t>
  </si>
  <si>
    <t>Ø60XESP2mmX1m</t>
  </si>
  <si>
    <t xml:space="preserve">D.K. FREITAS GALLINARI </t>
  </si>
  <si>
    <t>Proteção estrutural e acabamento</t>
  </si>
  <si>
    <t>Conector KK Macho 4 Vias</t>
  </si>
  <si>
    <t>Macho 2,5MM 4 Vias</t>
  </si>
  <si>
    <t>Termistor NTC 5D-9 (5 Ohms)</t>
  </si>
  <si>
    <t>Termistor NTC 5 Ohm 9mm</t>
  </si>
  <si>
    <t>Termistor para alimentação geral</t>
  </si>
  <si>
    <t>Custo total por robô:</t>
  </si>
  <si>
    <t>Custo total do projeto: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</si>
</sst>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0">
    <font>
      <sz val="11"/>
      <color theme="1"/>
      <name val="Calibri"/>
      <family val="2"/>
      <scheme val="minor"/>
    </font>
    <font>
      <sz val="12"/>
      <color rgb="FF000000"/>
      <name val="Arial"/>
    </font>
    <font>
      <b/>
      <sz val="12"/>
      <color theme="0"/>
      <name val="Arial"/>
    </font>
    <font>
      <sz val="12"/>
      <color theme="1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242424"/>
      <name val="Arial"/>
    </font>
    <font>
      <sz val="11"/>
      <color rgb="FF242424"/>
      <name val="Arial"/>
    </font>
    <font>
      <sz val="12"/>
      <color theme="1"/>
      <name val="Calibri"/>
      <family val="2"/>
      <scheme val="minor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164" fontId="3" fillId="4" borderId="1" xfId="0" applyNumberFormat="1" applyFont="1" applyFill="1" applyBorder="1"/>
    <xf numFmtId="164" fontId="3" fillId="4" borderId="1" xfId="0" applyNumberFormat="1" applyFont="1" applyFill="1" applyBorder="1" applyAlignment="1">
      <alignment horizontal="right"/>
    </xf>
    <xf numFmtId="0" fontId="1" fillId="4" borderId="1" xfId="0" applyFont="1" applyFill="1" applyBorder="1"/>
    <xf numFmtId="0" fontId="3" fillId="4" borderId="2" xfId="0" applyFont="1" applyFill="1" applyBorder="1"/>
    <xf numFmtId="164" fontId="3" fillId="0" borderId="1" xfId="0" applyNumberFormat="1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5" fillId="3" borderId="1" xfId="0" applyFont="1" applyFill="1" applyBorder="1"/>
    <xf numFmtId="0" fontId="1" fillId="0" borderId="1" xfId="0" applyFont="1" applyBorder="1"/>
    <xf numFmtId="0" fontId="6" fillId="0" borderId="1" xfId="0" applyFont="1" applyBorder="1"/>
    <xf numFmtId="0" fontId="3" fillId="0" borderId="0" xfId="0" applyFont="1" applyAlignment="1">
      <alignment horizontal="center"/>
    </xf>
    <xf numFmtId="0" fontId="8" fillId="0" borderId="0" xfId="0" applyFont="1"/>
    <xf numFmtId="0" fontId="4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/>
    <xf numFmtId="0" fontId="7" fillId="0" borderId="1" xfId="0" applyFont="1" applyBorder="1"/>
    <xf numFmtId="164" fontId="3" fillId="0" borderId="4" xfId="0" applyNumberFormat="1" applyFont="1" applyBorder="1"/>
    <xf numFmtId="0" fontId="9" fillId="0" borderId="1" xfId="0" applyFont="1" applyBorder="1"/>
    <xf numFmtId="0" fontId="3" fillId="4" borderId="5" xfId="0" applyFont="1" applyFill="1" applyBorder="1" applyAlignment="1">
      <alignment horizontal="center"/>
    </xf>
    <xf numFmtId="0" fontId="3" fillId="0" borderId="2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26">
    <dxf>
      <font>
        <sz val="12"/>
        <name val="Arial"/>
      </font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name val="Arial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name val="Arial"/>
      </font>
    </dxf>
    <dxf>
      <font>
        <sz val="12"/>
        <name val="Arial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3B183-2A59-4AD2-BAA6-87591A87C8F9}" name="Tabela1" displayName="Tabela1" ref="A3:L54" headerRowCount="0" totalsRowShown="0" headerRowDxfId="25" dataDxfId="24">
  <tableColumns count="12">
    <tableColumn id="1" xr3:uid="{6139B640-5C99-45D6-9162-3D6032709B7C}" name="Coluna1" headerRowDxfId="23" dataDxfId="22"/>
    <tableColumn id="2" xr3:uid="{B9DA0266-7022-4386-955C-367F63E0A3C5}" name="Coluna2" headerRowDxfId="21" dataDxfId="20"/>
    <tableColumn id="3" xr3:uid="{172393A5-EA1E-4BB9-BCBF-86989582815F}" name="Coluna3" headerRowDxfId="19" dataDxfId="18"/>
    <tableColumn id="4" xr3:uid="{690BFF48-771D-4ED4-9781-7E4112C25C04}" name="Coluna4" headerRowDxfId="17" dataDxfId="16"/>
    <tableColumn id="5" xr3:uid="{CCDCE4DA-66EF-418A-B42F-985218F284F8}" name="Coluna5" headerRowDxfId="15" dataDxfId="14"/>
    <tableColumn id="6" xr3:uid="{039748C9-9D50-4C97-857B-E66EFDFD962C}" name="Coluna6" headerRowDxfId="13" dataDxfId="12"/>
    <tableColumn id="7" xr3:uid="{8426603C-D619-4CC1-8490-CFEBF1182D02}" name="Coluna7" headerRowDxfId="11" dataDxfId="10"/>
    <tableColumn id="8" xr3:uid="{DB8A53A2-F1F2-4702-ACB0-FF4862B3FF91}" name="Coluna8" headerRowDxfId="9" dataDxfId="8"/>
    <tableColumn id="9" xr3:uid="{3C8C808F-C983-4AA4-9329-A7A3433C457F}" name="Coluna9" headerRowDxfId="7" dataDxfId="6"/>
    <tableColumn id="10" xr3:uid="{BD45B948-3DF0-4D26-A07C-CD0C18062071}" name="Coluna10" headerRowDxfId="5" dataDxfId="4"/>
    <tableColumn id="11" xr3:uid="{5A85A09C-4033-45BC-951F-8C9FDFD5C933}" name="Coluna11" headerRowDxfId="3" dataDxfId="2"/>
    <tableColumn id="12" xr3:uid="{4B1847DA-67AB-4BA2-A45A-7DEC1678F262}" name="Coluna12" headerRowDxfId="1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F30" sqref="F30"/>
    </sheetView>
  </sheetViews>
  <sheetFormatPr defaultRowHeight="15"/>
  <cols>
    <col min="1" max="1" width="12.7109375" bestFit="1" customWidth="1"/>
    <col min="2" max="2" width="23.85546875" bestFit="1" customWidth="1"/>
    <col min="3" max="3" width="38.140625" bestFit="1" customWidth="1"/>
    <col min="4" max="4" width="19.7109375" bestFit="1" customWidth="1"/>
    <col min="5" max="5" width="33.7109375" bestFit="1" customWidth="1"/>
    <col min="6" max="6" width="30.85546875" bestFit="1" customWidth="1"/>
    <col min="7" max="7" width="12.7109375" bestFit="1" customWidth="1"/>
    <col min="8" max="8" width="20.7109375" bestFit="1" customWidth="1"/>
    <col min="9" max="9" width="26.28515625" bestFit="1" customWidth="1"/>
    <col min="10" max="10" width="15.7109375" bestFit="1" customWidth="1"/>
    <col min="11" max="11" width="14" bestFit="1" customWidth="1"/>
    <col min="12" max="12" width="67.85546875" bestFit="1" customWidth="1"/>
  </cols>
  <sheetData>
    <row r="1" spans="1:12" ht="15.7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21.75" hidden="1" customHeight="1"/>
    <row r="3" spans="1:12" ht="15.75">
      <c r="A3" s="16" t="s">
        <v>1</v>
      </c>
      <c r="B3" s="16" t="s">
        <v>2</v>
      </c>
      <c r="C3" s="16" t="s">
        <v>3</v>
      </c>
      <c r="D3" s="16" t="s">
        <v>4</v>
      </c>
      <c r="E3" s="17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</row>
    <row r="4" spans="1:12" ht="15.75">
      <c r="A4" s="2">
        <v>1</v>
      </c>
      <c r="B4" s="3" t="s">
        <v>13</v>
      </c>
      <c r="C4" s="3" t="s">
        <v>14</v>
      </c>
      <c r="D4" s="2">
        <v>3</v>
      </c>
      <c r="E4" s="3" t="s">
        <v>15</v>
      </c>
      <c r="F4" s="3" t="s">
        <v>16</v>
      </c>
      <c r="G4" s="3" t="s">
        <v>17</v>
      </c>
      <c r="H4" s="3" t="s">
        <v>15</v>
      </c>
      <c r="I4" s="5"/>
      <c r="J4" s="4"/>
      <c r="K4" s="7" t="s">
        <v>18</v>
      </c>
      <c r="L4" s="1" t="s">
        <v>19</v>
      </c>
    </row>
    <row r="5" spans="1:12" ht="15.75">
      <c r="A5" s="2">
        <v>2</v>
      </c>
      <c r="B5" s="3" t="s">
        <v>20</v>
      </c>
      <c r="C5" s="3" t="s">
        <v>21</v>
      </c>
      <c r="D5" s="2">
        <v>4</v>
      </c>
      <c r="E5" s="12" t="s">
        <v>22</v>
      </c>
      <c r="F5" s="3" t="s">
        <v>23</v>
      </c>
      <c r="G5" s="3" t="s">
        <v>17</v>
      </c>
      <c r="H5" s="3" t="s">
        <v>24</v>
      </c>
      <c r="I5" s="5">
        <v>84.83</v>
      </c>
      <c r="J5" s="4">
        <f>I5*4</f>
        <v>339.32</v>
      </c>
      <c r="K5" s="7" t="s">
        <v>18</v>
      </c>
      <c r="L5" s="1" t="s">
        <v>25</v>
      </c>
    </row>
    <row r="6" spans="1:12" ht="15.75">
      <c r="A6" s="2">
        <v>3</v>
      </c>
      <c r="B6" s="3" t="s">
        <v>20</v>
      </c>
      <c r="C6" s="3" t="s">
        <v>26</v>
      </c>
      <c r="D6" s="2">
        <v>4</v>
      </c>
      <c r="E6" s="4" t="s">
        <v>27</v>
      </c>
      <c r="F6" s="3"/>
      <c r="G6" s="3" t="s">
        <v>17</v>
      </c>
      <c r="H6" s="3" t="s">
        <v>15</v>
      </c>
      <c r="I6" s="5"/>
      <c r="J6" s="4"/>
      <c r="K6" s="7" t="s">
        <v>18</v>
      </c>
      <c r="L6" s="1" t="s">
        <v>28</v>
      </c>
    </row>
    <row r="7" spans="1:12" ht="15.75">
      <c r="A7" s="2">
        <v>4</v>
      </c>
      <c r="B7" s="6" t="s">
        <v>29</v>
      </c>
      <c r="C7" s="3" t="s">
        <v>30</v>
      </c>
      <c r="D7" s="2">
        <v>4</v>
      </c>
      <c r="E7" s="3" t="s">
        <v>31</v>
      </c>
      <c r="F7" s="3" t="s">
        <v>32</v>
      </c>
      <c r="G7" s="3" t="s">
        <v>17</v>
      </c>
      <c r="H7" s="3" t="s">
        <v>24</v>
      </c>
      <c r="I7" s="5">
        <v>89.9</v>
      </c>
      <c r="J7" s="4">
        <f>I7*4</f>
        <v>359.6</v>
      </c>
      <c r="K7" s="7" t="s">
        <v>18</v>
      </c>
      <c r="L7" s="3" t="s">
        <v>33</v>
      </c>
    </row>
    <row r="8" spans="1:12" ht="15.75">
      <c r="A8" s="2">
        <v>5</v>
      </c>
      <c r="B8" s="3" t="s">
        <v>34</v>
      </c>
      <c r="C8" s="3" t="s">
        <v>35</v>
      </c>
      <c r="D8" s="2">
        <v>2</v>
      </c>
      <c r="E8" s="13" t="s">
        <v>36</v>
      </c>
      <c r="F8" s="3" t="s">
        <v>32</v>
      </c>
      <c r="G8" s="3" t="s">
        <v>17</v>
      </c>
      <c r="H8" s="3" t="s">
        <v>24</v>
      </c>
      <c r="I8" s="5">
        <v>17.899999999999999</v>
      </c>
      <c r="J8" s="4">
        <f>I8*2</f>
        <v>35.799999999999997</v>
      </c>
      <c r="K8" s="7" t="s">
        <v>18</v>
      </c>
      <c r="L8" s="1" t="s">
        <v>37</v>
      </c>
    </row>
    <row r="9" spans="1:12" ht="15.75">
      <c r="A9" s="2">
        <v>6</v>
      </c>
      <c r="B9" s="3" t="s">
        <v>38</v>
      </c>
      <c r="C9" s="3" t="s">
        <v>39</v>
      </c>
      <c r="D9" s="2">
        <v>12</v>
      </c>
      <c r="E9" s="3" t="s">
        <v>40</v>
      </c>
      <c r="F9" s="3" t="s">
        <v>41</v>
      </c>
      <c r="G9" s="3" t="s">
        <v>17</v>
      </c>
      <c r="H9" s="3" t="s">
        <v>42</v>
      </c>
      <c r="I9" s="5">
        <v>11.9</v>
      </c>
      <c r="J9" s="4">
        <f>I9*12</f>
        <v>142.80000000000001</v>
      </c>
      <c r="K9" s="7" t="s">
        <v>18</v>
      </c>
      <c r="L9" s="3" t="s">
        <v>43</v>
      </c>
    </row>
    <row r="10" spans="1:12" ht="15.75">
      <c r="A10" s="2">
        <v>7</v>
      </c>
      <c r="B10" s="3" t="s">
        <v>44</v>
      </c>
      <c r="C10" s="3" t="s">
        <v>45</v>
      </c>
      <c r="D10" s="2">
        <v>2</v>
      </c>
      <c r="E10" s="3" t="s">
        <v>46</v>
      </c>
      <c r="F10" s="3" t="s">
        <v>32</v>
      </c>
      <c r="G10" s="3" t="s">
        <v>17</v>
      </c>
      <c r="H10" s="3" t="s">
        <v>42</v>
      </c>
      <c r="I10" s="5">
        <v>6.9</v>
      </c>
      <c r="J10" s="4">
        <f>I10*2</f>
        <v>13.8</v>
      </c>
      <c r="K10" s="7" t="s">
        <v>18</v>
      </c>
      <c r="L10" s="3" t="s">
        <v>47</v>
      </c>
    </row>
    <row r="11" spans="1:12" ht="15.75">
      <c r="A11" s="2">
        <v>8</v>
      </c>
      <c r="B11" s="3" t="s">
        <v>48</v>
      </c>
      <c r="C11" s="6" t="s">
        <v>49</v>
      </c>
      <c r="D11" s="2">
        <v>1</v>
      </c>
      <c r="E11" s="6" t="s">
        <v>50</v>
      </c>
      <c r="F11" s="3" t="s">
        <v>32</v>
      </c>
      <c r="G11" s="3" t="s">
        <v>17</v>
      </c>
      <c r="H11" s="3" t="s">
        <v>42</v>
      </c>
      <c r="I11" s="5">
        <v>24.9</v>
      </c>
      <c r="J11" s="4">
        <f>I11*1</f>
        <v>24.9</v>
      </c>
      <c r="K11" s="7" t="s">
        <v>18</v>
      </c>
      <c r="L11" s="3" t="s">
        <v>51</v>
      </c>
    </row>
    <row r="12" spans="1:12" ht="15.75">
      <c r="A12" s="2">
        <v>9</v>
      </c>
      <c r="B12" s="3" t="s">
        <v>48</v>
      </c>
      <c r="C12" s="1" t="s">
        <v>52</v>
      </c>
      <c r="D12" s="2">
        <v>4</v>
      </c>
      <c r="E12" s="3" t="s">
        <v>53</v>
      </c>
      <c r="F12" s="3" t="s">
        <v>41</v>
      </c>
      <c r="G12" s="3" t="s">
        <v>17</v>
      </c>
      <c r="H12" s="3" t="s">
        <v>42</v>
      </c>
      <c r="I12" s="5">
        <v>8.7200000000000006</v>
      </c>
      <c r="J12" s="4">
        <f>I12*4</f>
        <v>34.880000000000003</v>
      </c>
      <c r="K12" s="7" t="s">
        <v>18</v>
      </c>
      <c r="L12" s="3" t="s">
        <v>54</v>
      </c>
    </row>
    <row r="13" spans="1:12" ht="15.75">
      <c r="A13" s="2">
        <v>10</v>
      </c>
      <c r="B13" s="3" t="s">
        <v>55</v>
      </c>
      <c r="C13" s="3" t="s">
        <v>56</v>
      </c>
      <c r="D13" s="2">
        <v>1</v>
      </c>
      <c r="E13" s="12" t="s">
        <v>57</v>
      </c>
      <c r="F13" s="3"/>
      <c r="G13" s="3" t="s">
        <v>17</v>
      </c>
      <c r="H13" s="3" t="s">
        <v>42</v>
      </c>
      <c r="I13" s="5">
        <v>1990.9</v>
      </c>
      <c r="J13" s="4">
        <f>I13*1</f>
        <v>1990.9</v>
      </c>
      <c r="K13" s="7" t="s">
        <v>18</v>
      </c>
      <c r="L13" s="1" t="s">
        <v>58</v>
      </c>
    </row>
    <row r="14" spans="1:12" ht="15.75">
      <c r="A14" s="2">
        <v>11</v>
      </c>
      <c r="B14" s="3" t="s">
        <v>59</v>
      </c>
      <c r="C14" s="3" t="s">
        <v>60</v>
      </c>
      <c r="D14" s="2">
        <v>1</v>
      </c>
      <c r="E14" s="3" t="s">
        <v>61</v>
      </c>
      <c r="F14" s="3" t="s">
        <v>41</v>
      </c>
      <c r="G14" s="3" t="s">
        <v>17</v>
      </c>
      <c r="H14" s="3" t="s">
        <v>42</v>
      </c>
      <c r="I14" s="5">
        <v>23.76</v>
      </c>
      <c r="J14" s="4">
        <v>23</v>
      </c>
      <c r="K14" s="7" t="s">
        <v>18</v>
      </c>
      <c r="L14" s="3" t="s">
        <v>62</v>
      </c>
    </row>
    <row r="15" spans="1:12" ht="15.75">
      <c r="A15" s="2">
        <v>12</v>
      </c>
      <c r="B15" s="3" t="s">
        <v>59</v>
      </c>
      <c r="C15" s="3" t="s">
        <v>63</v>
      </c>
      <c r="D15" s="2">
        <v>1</v>
      </c>
      <c r="E15" s="3" t="s">
        <v>16</v>
      </c>
      <c r="F15" s="3" t="s">
        <v>16</v>
      </c>
      <c r="G15" s="3" t="s">
        <v>17</v>
      </c>
      <c r="H15" s="3" t="s">
        <v>42</v>
      </c>
      <c r="I15" s="5">
        <v>3</v>
      </c>
      <c r="J15" s="4">
        <v>3</v>
      </c>
      <c r="K15" s="7" t="s">
        <v>18</v>
      </c>
      <c r="L15" s="3" t="s">
        <v>64</v>
      </c>
    </row>
    <row r="16" spans="1:12" ht="15.75">
      <c r="A16" s="2">
        <v>13</v>
      </c>
      <c r="B16" s="3" t="s">
        <v>59</v>
      </c>
      <c r="C16" s="3" t="s">
        <v>65</v>
      </c>
      <c r="D16" s="2">
        <v>1</v>
      </c>
      <c r="E16" s="3" t="s">
        <v>66</v>
      </c>
      <c r="F16" s="3"/>
      <c r="G16" s="3" t="s">
        <v>17</v>
      </c>
      <c r="H16" s="3" t="s">
        <v>42</v>
      </c>
      <c r="I16" s="5">
        <v>8.5399999999999991</v>
      </c>
      <c r="J16" s="4">
        <v>8.5399999999999991</v>
      </c>
      <c r="K16" s="7" t="s">
        <v>18</v>
      </c>
      <c r="L16" s="3" t="s">
        <v>67</v>
      </c>
    </row>
    <row r="17" spans="1:12" ht="15.75">
      <c r="A17" s="2">
        <v>14</v>
      </c>
      <c r="B17" s="3" t="s">
        <v>68</v>
      </c>
      <c r="C17" s="1" t="s">
        <v>69</v>
      </c>
      <c r="D17" s="10">
        <v>1</v>
      </c>
      <c r="E17" s="1" t="s">
        <v>70</v>
      </c>
      <c r="F17" s="3" t="s">
        <v>71</v>
      </c>
      <c r="G17" s="1" t="s">
        <v>17</v>
      </c>
      <c r="H17" s="1" t="s">
        <v>15</v>
      </c>
      <c r="I17" s="8">
        <v>156.85</v>
      </c>
      <c r="J17" s="8">
        <f>I17*1</f>
        <v>156.85</v>
      </c>
      <c r="K17" s="7" t="s">
        <v>18</v>
      </c>
      <c r="L17" s="1" t="s">
        <v>72</v>
      </c>
    </row>
    <row r="18" spans="1:12" ht="15.75">
      <c r="A18" s="2">
        <v>15</v>
      </c>
      <c r="B18" s="3" t="s">
        <v>68</v>
      </c>
      <c r="C18" s="6" t="s">
        <v>73</v>
      </c>
      <c r="D18" s="2">
        <v>1</v>
      </c>
      <c r="E18" s="6" t="s">
        <v>70</v>
      </c>
      <c r="F18" s="3" t="s">
        <v>71</v>
      </c>
      <c r="G18" s="3" t="s">
        <v>17</v>
      </c>
      <c r="H18" s="3" t="s">
        <v>15</v>
      </c>
      <c r="I18" s="4">
        <v>180.52</v>
      </c>
      <c r="J18" s="4">
        <f>I18*1</f>
        <v>180.52</v>
      </c>
      <c r="K18" s="7" t="s">
        <v>18</v>
      </c>
      <c r="L18" s="1" t="s">
        <v>74</v>
      </c>
    </row>
    <row r="19" spans="1:12" ht="15.75">
      <c r="A19" s="2">
        <v>16</v>
      </c>
      <c r="B19" s="3" t="s">
        <v>68</v>
      </c>
      <c r="C19" s="12" t="s">
        <v>75</v>
      </c>
      <c r="D19" s="10">
        <v>1</v>
      </c>
      <c r="E19" s="12" t="s">
        <v>70</v>
      </c>
      <c r="F19" s="3" t="s">
        <v>71</v>
      </c>
      <c r="G19" s="1" t="s">
        <v>17</v>
      </c>
      <c r="H19" s="1" t="s">
        <v>15</v>
      </c>
      <c r="I19" s="8">
        <v>148.66</v>
      </c>
      <c r="J19" s="8">
        <f>I19*1</f>
        <v>148.66</v>
      </c>
      <c r="K19" s="7" t="s">
        <v>18</v>
      </c>
      <c r="L19" s="1" t="s">
        <v>76</v>
      </c>
    </row>
    <row r="20" spans="1:12" ht="15.75">
      <c r="A20" s="2">
        <v>17</v>
      </c>
      <c r="B20" s="3" t="s">
        <v>68</v>
      </c>
      <c r="C20" s="6" t="s">
        <v>77</v>
      </c>
      <c r="D20" s="2">
        <v>1</v>
      </c>
      <c r="E20" s="6" t="s">
        <v>70</v>
      </c>
      <c r="F20" s="3" t="s">
        <v>71</v>
      </c>
      <c r="G20" s="3" t="s">
        <v>17</v>
      </c>
      <c r="H20" s="3" t="s">
        <v>15</v>
      </c>
      <c r="I20" s="4">
        <v>191.26</v>
      </c>
      <c r="J20" s="4">
        <f>I20*1</f>
        <v>191.26</v>
      </c>
      <c r="K20" s="7" t="s">
        <v>18</v>
      </c>
      <c r="L20" s="1" t="s">
        <v>78</v>
      </c>
    </row>
    <row r="21" spans="1:12" ht="15.75">
      <c r="A21" s="2">
        <v>18</v>
      </c>
      <c r="B21" s="1" t="s">
        <v>79</v>
      </c>
      <c r="C21" s="12" t="s">
        <v>80</v>
      </c>
      <c r="D21" s="10">
        <v>32</v>
      </c>
      <c r="E21" s="1" t="s">
        <v>81</v>
      </c>
      <c r="F21" s="1" t="s">
        <v>82</v>
      </c>
      <c r="G21" s="1" t="s">
        <v>17</v>
      </c>
      <c r="H21" s="1" t="s">
        <v>42</v>
      </c>
      <c r="I21" s="8">
        <v>0.4</v>
      </c>
      <c r="J21" s="8">
        <f>I21*32</f>
        <v>12.8</v>
      </c>
      <c r="K21" s="7" t="s">
        <v>18</v>
      </c>
      <c r="L21" s="1" t="s">
        <v>83</v>
      </c>
    </row>
    <row r="22" spans="1:12" ht="15.75">
      <c r="A22" s="2">
        <v>19</v>
      </c>
      <c r="B22" s="1" t="s">
        <v>84</v>
      </c>
      <c r="C22" s="1" t="s">
        <v>85</v>
      </c>
      <c r="D22" s="10">
        <v>1</v>
      </c>
      <c r="E22" s="1" t="s">
        <v>86</v>
      </c>
      <c r="F22" s="1" t="s">
        <v>41</v>
      </c>
      <c r="G22" s="1" t="s">
        <v>17</v>
      </c>
      <c r="H22" s="1" t="s">
        <v>42</v>
      </c>
      <c r="I22" s="8">
        <v>7.78</v>
      </c>
      <c r="J22" s="8">
        <v>8.5</v>
      </c>
      <c r="K22" s="7" t="s">
        <v>18</v>
      </c>
      <c r="L22" s="1" t="s">
        <v>87</v>
      </c>
    </row>
    <row r="23" spans="1:12" ht="15.75">
      <c r="A23" s="2">
        <v>20</v>
      </c>
      <c r="B23" s="1" t="s">
        <v>84</v>
      </c>
      <c r="C23" s="1" t="s">
        <v>88</v>
      </c>
      <c r="D23" s="10">
        <v>1</v>
      </c>
      <c r="E23" s="1" t="s">
        <v>89</v>
      </c>
      <c r="F23" s="1" t="s">
        <v>32</v>
      </c>
      <c r="G23" s="1" t="s">
        <v>17</v>
      </c>
      <c r="H23" s="1" t="s">
        <v>42</v>
      </c>
      <c r="I23" s="8">
        <v>8.9</v>
      </c>
      <c r="J23" s="8">
        <f>I23*1</f>
        <v>8.9</v>
      </c>
      <c r="K23" s="7" t="s">
        <v>18</v>
      </c>
      <c r="L23" s="1" t="s">
        <v>90</v>
      </c>
    </row>
    <row r="24" spans="1:12" ht="15.75">
      <c r="A24" s="2">
        <v>21</v>
      </c>
      <c r="B24" s="1" t="s">
        <v>84</v>
      </c>
      <c r="C24" s="1" t="s">
        <v>91</v>
      </c>
      <c r="D24" s="10">
        <v>2</v>
      </c>
      <c r="E24" s="1" t="s">
        <v>91</v>
      </c>
      <c r="F24" s="1" t="s">
        <v>32</v>
      </c>
      <c r="G24" s="1" t="s">
        <v>17</v>
      </c>
      <c r="H24" s="1" t="s">
        <v>42</v>
      </c>
      <c r="I24" s="8">
        <v>6.9</v>
      </c>
      <c r="J24" s="8">
        <f>I24*2</f>
        <v>13.8</v>
      </c>
      <c r="K24" s="7" t="s">
        <v>18</v>
      </c>
      <c r="L24" s="1" t="s">
        <v>92</v>
      </c>
    </row>
    <row r="25" spans="1:12" ht="15.75">
      <c r="A25" s="2">
        <v>22</v>
      </c>
      <c r="B25" s="1" t="s">
        <v>84</v>
      </c>
      <c r="C25" s="1" t="s">
        <v>93</v>
      </c>
      <c r="D25" s="10"/>
      <c r="E25" s="19" t="s">
        <v>94</v>
      </c>
      <c r="F25" s="1" t="s">
        <v>32</v>
      </c>
      <c r="G25" s="1" t="s">
        <v>17</v>
      </c>
      <c r="H25" s="1" t="s">
        <v>24</v>
      </c>
      <c r="I25" s="8">
        <v>0.25</v>
      </c>
      <c r="J25" s="8"/>
      <c r="K25" s="7" t="s">
        <v>18</v>
      </c>
      <c r="L25" s="1" t="s">
        <v>95</v>
      </c>
    </row>
    <row r="26" spans="1:12" ht="15.75">
      <c r="A26" s="2">
        <v>23</v>
      </c>
      <c r="B26" s="1" t="s">
        <v>84</v>
      </c>
      <c r="C26" s="1" t="s">
        <v>96</v>
      </c>
      <c r="D26" s="10">
        <v>1</v>
      </c>
      <c r="E26" s="1" t="s">
        <v>97</v>
      </c>
      <c r="F26" s="1" t="s">
        <v>23</v>
      </c>
      <c r="G26" s="1" t="s">
        <v>17</v>
      </c>
      <c r="H26" s="1" t="s">
        <v>24</v>
      </c>
      <c r="I26" s="8">
        <v>3.7</v>
      </c>
      <c r="J26" s="8">
        <f>I26*1</f>
        <v>3.7</v>
      </c>
      <c r="K26" s="7" t="s">
        <v>18</v>
      </c>
      <c r="L26" s="1" t="s">
        <v>98</v>
      </c>
    </row>
    <row r="27" spans="1:12" ht="15.75">
      <c r="A27" s="2">
        <v>24</v>
      </c>
      <c r="B27" s="1" t="s">
        <v>99</v>
      </c>
      <c r="C27" s="1" t="s">
        <v>100</v>
      </c>
      <c r="D27" s="10">
        <v>32</v>
      </c>
      <c r="E27" s="1" t="s">
        <v>101</v>
      </c>
      <c r="F27" s="1" t="s">
        <v>82</v>
      </c>
      <c r="G27" s="1" t="s">
        <v>17</v>
      </c>
      <c r="H27" s="1" t="s">
        <v>42</v>
      </c>
      <c r="I27" s="8">
        <v>0.12</v>
      </c>
      <c r="J27" s="8">
        <f>I27*32</f>
        <v>3.84</v>
      </c>
      <c r="K27" s="7" t="s">
        <v>18</v>
      </c>
      <c r="L27" s="1" t="s">
        <v>102</v>
      </c>
    </row>
    <row r="28" spans="1:12" ht="15.75">
      <c r="A28" s="2">
        <v>25</v>
      </c>
      <c r="B28" s="1" t="s">
        <v>84</v>
      </c>
      <c r="C28" s="1" t="s">
        <v>103</v>
      </c>
      <c r="D28" s="10">
        <v>1</v>
      </c>
      <c r="E28" s="1" t="s">
        <v>104</v>
      </c>
      <c r="F28" s="1" t="s">
        <v>23</v>
      </c>
      <c r="G28" s="1" t="s">
        <v>17</v>
      </c>
      <c r="H28" s="1" t="s">
        <v>24</v>
      </c>
      <c r="I28" s="8">
        <v>339.83</v>
      </c>
      <c r="J28" s="8">
        <f>I28*1</f>
        <v>339.83</v>
      </c>
      <c r="K28" s="7" t="s">
        <v>18</v>
      </c>
      <c r="L28" s="1" t="s">
        <v>105</v>
      </c>
    </row>
    <row r="29" spans="1:12" ht="15.75">
      <c r="A29" s="2">
        <v>26</v>
      </c>
      <c r="B29" s="1" t="s">
        <v>29</v>
      </c>
      <c r="C29" s="1" t="s">
        <v>106</v>
      </c>
      <c r="D29" s="10">
        <v>1</v>
      </c>
      <c r="E29" s="1" t="s">
        <v>107</v>
      </c>
      <c r="F29" s="1" t="s">
        <v>23</v>
      </c>
      <c r="G29" s="1" t="s">
        <v>17</v>
      </c>
      <c r="H29" s="1" t="s">
        <v>42</v>
      </c>
      <c r="I29" s="8">
        <v>1</v>
      </c>
      <c r="J29" s="8">
        <v>1</v>
      </c>
      <c r="K29" s="7" t="s">
        <v>18</v>
      </c>
      <c r="L29" s="1" t="s">
        <v>108</v>
      </c>
    </row>
    <row r="30" spans="1:12" ht="15.75">
      <c r="A30" s="2">
        <v>27</v>
      </c>
      <c r="B30" s="1" t="s">
        <v>55</v>
      </c>
      <c r="C30" s="1" t="s">
        <v>109</v>
      </c>
      <c r="D30" s="10">
        <v>1</v>
      </c>
      <c r="E30" s="1" t="s">
        <v>15</v>
      </c>
      <c r="F30" s="1"/>
      <c r="G30" s="1" t="s">
        <v>17</v>
      </c>
      <c r="H30" s="1" t="s">
        <v>15</v>
      </c>
      <c r="I30" s="8"/>
      <c r="J30" s="8"/>
      <c r="K30" s="7" t="s">
        <v>18</v>
      </c>
      <c r="L30" s="1" t="s">
        <v>110</v>
      </c>
    </row>
    <row r="31" spans="1:12" ht="15.75">
      <c r="A31" s="2">
        <v>28</v>
      </c>
      <c r="B31" s="21" t="s">
        <v>59</v>
      </c>
      <c r="C31" s="12" t="s">
        <v>111</v>
      </c>
      <c r="D31" s="10">
        <v>3</v>
      </c>
      <c r="E31" s="1" t="s">
        <v>112</v>
      </c>
      <c r="F31" s="1" t="s">
        <v>41</v>
      </c>
      <c r="G31" s="1" t="s">
        <v>17</v>
      </c>
      <c r="H31" s="1" t="s">
        <v>24</v>
      </c>
      <c r="I31" s="8">
        <v>1.56</v>
      </c>
      <c r="J31" s="8">
        <f>I31*3</f>
        <v>4.68</v>
      </c>
      <c r="K31" s="7" t="s">
        <v>18</v>
      </c>
      <c r="L31" s="1" t="s">
        <v>113</v>
      </c>
    </row>
    <row r="32" spans="1:12" ht="15.75">
      <c r="A32" s="2">
        <v>29</v>
      </c>
      <c r="B32" s="1" t="s">
        <v>20</v>
      </c>
      <c r="C32" s="12" t="s">
        <v>114</v>
      </c>
      <c r="D32" s="10">
        <v>4</v>
      </c>
      <c r="E32" s="1" t="s">
        <v>115</v>
      </c>
      <c r="F32" s="1" t="s">
        <v>41</v>
      </c>
      <c r="G32" s="1" t="s">
        <v>17</v>
      </c>
      <c r="H32" s="1" t="s">
        <v>24</v>
      </c>
      <c r="I32" s="8">
        <v>19.71</v>
      </c>
      <c r="J32" s="8">
        <f>I32*4</f>
        <v>78.84</v>
      </c>
      <c r="K32" s="7" t="s">
        <v>18</v>
      </c>
      <c r="L32" s="1" t="s">
        <v>116</v>
      </c>
    </row>
    <row r="33" spans="1:12" ht="15.75">
      <c r="A33" s="2">
        <v>30</v>
      </c>
      <c r="B33" s="1" t="s">
        <v>117</v>
      </c>
      <c r="C33" s="1" t="s">
        <v>118</v>
      </c>
      <c r="D33" s="10">
        <v>1</v>
      </c>
      <c r="E33" s="1" t="s">
        <v>119</v>
      </c>
      <c r="F33" s="1" t="s">
        <v>32</v>
      </c>
      <c r="G33" s="1" t="s">
        <v>17</v>
      </c>
      <c r="H33" s="1" t="s">
        <v>42</v>
      </c>
      <c r="I33" s="8">
        <v>7.9</v>
      </c>
      <c r="J33" s="8">
        <f>I33*1</f>
        <v>7.9</v>
      </c>
      <c r="K33" s="7" t="s">
        <v>18</v>
      </c>
      <c r="L33" s="1" t="s">
        <v>120</v>
      </c>
    </row>
    <row r="34" spans="1:12" ht="15.75">
      <c r="A34" s="2">
        <v>31</v>
      </c>
      <c r="B34" s="21" t="s">
        <v>59</v>
      </c>
      <c r="C34" s="13" t="s">
        <v>121</v>
      </c>
      <c r="D34" s="10">
        <v>6</v>
      </c>
      <c r="E34" s="1" t="s">
        <v>122</v>
      </c>
      <c r="F34" s="1" t="s">
        <v>23</v>
      </c>
      <c r="G34" s="1" t="s">
        <v>17</v>
      </c>
      <c r="H34" s="1" t="s">
        <v>42</v>
      </c>
      <c r="I34" s="8">
        <v>0.75</v>
      </c>
      <c r="J34" s="8">
        <f>I34*6</f>
        <v>4.5</v>
      </c>
      <c r="K34" s="7" t="s">
        <v>18</v>
      </c>
      <c r="L34" s="1" t="s">
        <v>123</v>
      </c>
    </row>
    <row r="35" spans="1:12" ht="15.75">
      <c r="A35" s="2">
        <v>32</v>
      </c>
      <c r="B35" s="1" t="s">
        <v>84</v>
      </c>
      <c r="C35" s="13" t="s">
        <v>124</v>
      </c>
      <c r="D35" s="10">
        <v>3</v>
      </c>
      <c r="E35" s="1" t="s">
        <v>125</v>
      </c>
      <c r="F35" s="1" t="s">
        <v>82</v>
      </c>
      <c r="G35" s="1" t="s">
        <v>17</v>
      </c>
      <c r="H35" s="1" t="s">
        <v>24</v>
      </c>
      <c r="I35" s="8">
        <v>0.24</v>
      </c>
      <c r="J35" s="8">
        <f>I35*3</f>
        <v>0.72</v>
      </c>
      <c r="K35" s="7" t="s">
        <v>18</v>
      </c>
      <c r="L35" s="1" t="s">
        <v>126</v>
      </c>
    </row>
    <row r="36" spans="1:12" ht="15.75">
      <c r="A36" s="2">
        <v>33</v>
      </c>
      <c r="B36" s="21" t="s">
        <v>59</v>
      </c>
      <c r="C36" s="13" t="s">
        <v>127</v>
      </c>
      <c r="D36" s="10">
        <v>4</v>
      </c>
      <c r="E36" s="19" t="s">
        <v>128</v>
      </c>
      <c r="F36" s="1" t="s">
        <v>82</v>
      </c>
      <c r="G36" s="1" t="s">
        <v>17</v>
      </c>
      <c r="H36" s="1" t="s">
        <v>24</v>
      </c>
      <c r="I36" s="8">
        <v>0.19</v>
      </c>
      <c r="J36" s="8">
        <f>I36*4</f>
        <v>0.76</v>
      </c>
      <c r="K36" s="7" t="s">
        <v>18</v>
      </c>
      <c r="L36" s="1" t="s">
        <v>129</v>
      </c>
    </row>
    <row r="37" spans="1:12" ht="15.75">
      <c r="A37" s="2">
        <v>34</v>
      </c>
      <c r="B37" s="21" t="s">
        <v>29</v>
      </c>
      <c r="C37" s="13" t="s">
        <v>130</v>
      </c>
      <c r="D37" s="10">
        <v>32</v>
      </c>
      <c r="E37" s="19" t="s">
        <v>131</v>
      </c>
      <c r="F37" s="1" t="s">
        <v>82</v>
      </c>
      <c r="G37" s="1" t="s">
        <v>17</v>
      </c>
      <c r="H37" s="1" t="s">
        <v>24</v>
      </c>
      <c r="I37" s="8">
        <v>0.05</v>
      </c>
      <c r="J37" s="8">
        <f>I37*32</f>
        <v>1.6</v>
      </c>
      <c r="K37" s="7" t="s">
        <v>18</v>
      </c>
      <c r="L37" s="1" t="s">
        <v>132</v>
      </c>
    </row>
    <row r="38" spans="1:12" ht="15.75">
      <c r="A38" s="2">
        <v>35</v>
      </c>
      <c r="B38" s="21" t="s">
        <v>29</v>
      </c>
      <c r="C38" s="13" t="s">
        <v>133</v>
      </c>
      <c r="D38" s="10">
        <v>32</v>
      </c>
      <c r="E38" s="19" t="s">
        <v>134</v>
      </c>
      <c r="F38" s="1" t="s">
        <v>82</v>
      </c>
      <c r="G38" s="1" t="s">
        <v>17</v>
      </c>
      <c r="H38" s="1" t="s">
        <v>24</v>
      </c>
      <c r="I38" s="8">
        <v>0.05</v>
      </c>
      <c r="J38" s="8">
        <f>I38*32</f>
        <v>1.6</v>
      </c>
      <c r="K38" s="7" t="s">
        <v>18</v>
      </c>
      <c r="L38" s="1" t="s">
        <v>135</v>
      </c>
    </row>
    <row r="39" spans="1:12" ht="15.75">
      <c r="A39" s="2">
        <v>36</v>
      </c>
      <c r="B39" s="21" t="s">
        <v>59</v>
      </c>
      <c r="C39" s="13" t="s">
        <v>136</v>
      </c>
      <c r="D39" s="10">
        <v>2</v>
      </c>
      <c r="E39" s="19" t="s">
        <v>137</v>
      </c>
      <c r="F39" s="1" t="s">
        <v>82</v>
      </c>
      <c r="G39" s="1" t="s">
        <v>17</v>
      </c>
      <c r="H39" s="1" t="s">
        <v>24</v>
      </c>
      <c r="I39" s="8">
        <v>0.18</v>
      </c>
      <c r="J39" s="8">
        <f>I39*2</f>
        <v>0.36</v>
      </c>
      <c r="K39" s="7" t="s">
        <v>18</v>
      </c>
      <c r="L39" s="1" t="s">
        <v>138</v>
      </c>
    </row>
    <row r="40" spans="1:12" ht="15.75">
      <c r="A40" s="2">
        <v>37</v>
      </c>
      <c r="B40" s="21" t="s">
        <v>59</v>
      </c>
      <c r="C40" s="13" t="s">
        <v>139</v>
      </c>
      <c r="D40" s="10">
        <v>2</v>
      </c>
      <c r="E40" s="19" t="s">
        <v>140</v>
      </c>
      <c r="F40" s="1" t="s">
        <v>82</v>
      </c>
      <c r="G40" s="1" t="s">
        <v>17</v>
      </c>
      <c r="H40" s="1" t="s">
        <v>24</v>
      </c>
      <c r="I40" s="8">
        <v>0.11</v>
      </c>
      <c r="J40" s="8">
        <f>I40*2</f>
        <v>0.22</v>
      </c>
      <c r="K40" s="7" t="s">
        <v>18</v>
      </c>
      <c r="L40" s="1" t="s">
        <v>141</v>
      </c>
    </row>
    <row r="41" spans="1:12" ht="15.75">
      <c r="A41" s="2">
        <v>38</v>
      </c>
      <c r="B41" s="21" t="s">
        <v>59</v>
      </c>
      <c r="C41" s="13" t="s">
        <v>142</v>
      </c>
      <c r="D41" s="10">
        <v>1</v>
      </c>
      <c r="E41" s="13" t="s">
        <v>143</v>
      </c>
      <c r="F41" s="1" t="s">
        <v>82</v>
      </c>
      <c r="G41" s="1" t="s">
        <v>17</v>
      </c>
      <c r="H41" s="1" t="s">
        <v>24</v>
      </c>
      <c r="I41" s="8">
        <v>2.65</v>
      </c>
      <c r="J41" s="8">
        <f>I41*1</f>
        <v>2.65</v>
      </c>
      <c r="K41" s="7" t="s">
        <v>18</v>
      </c>
      <c r="L41" s="1" t="s">
        <v>144</v>
      </c>
    </row>
    <row r="42" spans="1:12" ht="15.75">
      <c r="A42" s="2">
        <v>39</v>
      </c>
      <c r="B42" s="21" t="s">
        <v>29</v>
      </c>
      <c r="C42" s="13" t="s">
        <v>145</v>
      </c>
      <c r="D42" s="10">
        <v>1</v>
      </c>
      <c r="E42" s="19" t="s">
        <v>146</v>
      </c>
      <c r="F42" s="1" t="s">
        <v>82</v>
      </c>
      <c r="G42" s="1" t="s">
        <v>17</v>
      </c>
      <c r="H42" s="1" t="s">
        <v>24</v>
      </c>
      <c r="I42" s="8">
        <v>0.06</v>
      </c>
      <c r="J42" s="8">
        <f>I42*1</f>
        <v>0.06</v>
      </c>
      <c r="K42" s="7" t="s">
        <v>18</v>
      </c>
      <c r="L42" s="1" t="s">
        <v>147</v>
      </c>
    </row>
    <row r="43" spans="1:12" ht="15.75">
      <c r="A43" s="2">
        <v>40</v>
      </c>
      <c r="B43" s="21" t="s">
        <v>148</v>
      </c>
      <c r="C43" s="13" t="s">
        <v>149</v>
      </c>
      <c r="D43" s="10">
        <v>1</v>
      </c>
      <c r="E43" s="19" t="s">
        <v>150</v>
      </c>
      <c r="F43" s="1" t="s">
        <v>82</v>
      </c>
      <c r="G43" s="1" t="s">
        <v>17</v>
      </c>
      <c r="H43" s="1" t="s">
        <v>24</v>
      </c>
      <c r="I43" s="8">
        <v>44.1</v>
      </c>
      <c r="J43" s="8">
        <f>I43*1</f>
        <v>44.1</v>
      </c>
      <c r="K43" s="7" t="s">
        <v>18</v>
      </c>
      <c r="L43" s="1" t="s">
        <v>151</v>
      </c>
    </row>
    <row r="44" spans="1:12" ht="15.75">
      <c r="A44" s="2">
        <v>41</v>
      </c>
      <c r="B44" s="21" t="s">
        <v>29</v>
      </c>
      <c r="C44" s="13" t="s">
        <v>152</v>
      </c>
      <c r="D44" s="10">
        <v>1</v>
      </c>
      <c r="E44" s="13" t="s">
        <v>152</v>
      </c>
      <c r="F44" s="1" t="s">
        <v>82</v>
      </c>
      <c r="G44" s="1" t="s">
        <v>17</v>
      </c>
      <c r="H44" s="1" t="s">
        <v>24</v>
      </c>
      <c r="I44" s="8">
        <v>0.22</v>
      </c>
      <c r="J44" s="8">
        <f>I44*1</f>
        <v>0.22</v>
      </c>
      <c r="K44" s="7" t="s">
        <v>18</v>
      </c>
      <c r="L44" s="1" t="s">
        <v>153</v>
      </c>
    </row>
    <row r="45" spans="1:12" ht="15.75">
      <c r="A45" s="2">
        <v>42</v>
      </c>
      <c r="B45" s="21" t="s">
        <v>29</v>
      </c>
      <c r="C45" s="13" t="s">
        <v>154</v>
      </c>
      <c r="D45" s="10">
        <v>1</v>
      </c>
      <c r="E45" s="19" t="s">
        <v>154</v>
      </c>
      <c r="F45" s="1" t="s">
        <v>82</v>
      </c>
      <c r="G45" s="1" t="s">
        <v>17</v>
      </c>
      <c r="H45" s="1" t="s">
        <v>24</v>
      </c>
      <c r="I45" s="8">
        <v>0.3</v>
      </c>
      <c r="J45" s="8">
        <f>I45*1</f>
        <v>0.3</v>
      </c>
      <c r="K45" s="7" t="s">
        <v>18</v>
      </c>
      <c r="L45" s="1" t="s">
        <v>155</v>
      </c>
    </row>
    <row r="46" spans="1:12" ht="15.75">
      <c r="A46" s="2">
        <v>43</v>
      </c>
      <c r="B46" s="1" t="s">
        <v>29</v>
      </c>
      <c r="C46" s="19" t="s">
        <v>156</v>
      </c>
      <c r="D46" s="10">
        <v>40</v>
      </c>
      <c r="E46" s="19" t="s">
        <v>157</v>
      </c>
      <c r="F46" s="1" t="s">
        <v>82</v>
      </c>
      <c r="G46" s="1" t="s">
        <v>17</v>
      </c>
      <c r="H46" s="1" t="s">
        <v>24</v>
      </c>
      <c r="I46" s="8">
        <v>0.06</v>
      </c>
      <c r="J46" s="8">
        <f>I46*40</f>
        <v>2.4</v>
      </c>
      <c r="K46" s="7" t="s">
        <v>18</v>
      </c>
      <c r="L46" s="1" t="s">
        <v>158</v>
      </c>
    </row>
    <row r="47" spans="1:12" ht="15.75">
      <c r="A47" s="2">
        <v>44</v>
      </c>
      <c r="B47" s="21" t="s">
        <v>84</v>
      </c>
      <c r="C47" s="13" t="s">
        <v>159</v>
      </c>
      <c r="D47" s="10">
        <v>20</v>
      </c>
      <c r="E47" s="19" t="s">
        <v>160</v>
      </c>
      <c r="F47" s="1" t="s">
        <v>32</v>
      </c>
      <c r="G47" s="1" t="s">
        <v>17</v>
      </c>
      <c r="H47" s="1" t="s">
        <v>24</v>
      </c>
      <c r="I47" s="8">
        <v>0.1</v>
      </c>
      <c r="J47" s="8">
        <f>I47*20</f>
        <v>2</v>
      </c>
      <c r="K47" s="7" t="s">
        <v>18</v>
      </c>
      <c r="L47" s="1" t="s">
        <v>161</v>
      </c>
    </row>
    <row r="48" spans="1:12" ht="15.75">
      <c r="A48" s="2">
        <v>45</v>
      </c>
      <c r="B48" s="21" t="s">
        <v>84</v>
      </c>
      <c r="C48" s="13" t="s">
        <v>162</v>
      </c>
      <c r="D48" s="10">
        <v>7</v>
      </c>
      <c r="E48" s="19" t="s">
        <v>163</v>
      </c>
      <c r="F48" s="1" t="s">
        <v>32</v>
      </c>
      <c r="G48" s="1" t="s">
        <v>17</v>
      </c>
      <c r="H48" s="1" t="s">
        <v>24</v>
      </c>
      <c r="I48" s="8">
        <v>0.35</v>
      </c>
      <c r="J48" s="8">
        <f>I48*7</f>
        <v>2.4499999999999997</v>
      </c>
      <c r="K48" s="7" t="s">
        <v>18</v>
      </c>
      <c r="L48" s="1" t="s">
        <v>164</v>
      </c>
    </row>
    <row r="49" spans="1:12" ht="15.75">
      <c r="A49" s="2">
        <v>46</v>
      </c>
      <c r="B49" s="21" t="s">
        <v>84</v>
      </c>
      <c r="C49" s="13" t="s">
        <v>165</v>
      </c>
      <c r="D49" s="10">
        <v>1</v>
      </c>
      <c r="E49" s="13" t="s">
        <v>166</v>
      </c>
      <c r="F49" s="1" t="s">
        <v>32</v>
      </c>
      <c r="G49" s="1" t="s">
        <v>167</v>
      </c>
      <c r="H49" s="1" t="s">
        <v>24</v>
      </c>
      <c r="I49" s="8">
        <v>6.9</v>
      </c>
      <c r="J49" s="8">
        <f>I49*1</f>
        <v>6.9</v>
      </c>
      <c r="K49" s="7" t="s">
        <v>18</v>
      </c>
      <c r="L49" s="1" t="s">
        <v>168</v>
      </c>
    </row>
    <row r="50" spans="1:12" ht="15.75">
      <c r="A50" s="2">
        <v>47</v>
      </c>
      <c r="B50" s="1" t="s">
        <v>13</v>
      </c>
      <c r="C50" s="13" t="s">
        <v>169</v>
      </c>
      <c r="D50" s="10">
        <v>1</v>
      </c>
      <c r="E50" s="19" t="s">
        <v>170</v>
      </c>
      <c r="F50" s="1" t="s">
        <v>171</v>
      </c>
      <c r="G50" s="1" t="s">
        <v>167</v>
      </c>
      <c r="H50" s="1" t="s">
        <v>24</v>
      </c>
      <c r="I50" s="8">
        <v>315</v>
      </c>
      <c r="J50" s="8">
        <f>I50*1</f>
        <v>315</v>
      </c>
      <c r="K50" s="7" t="s">
        <v>18</v>
      </c>
      <c r="L50" s="1" t="s">
        <v>172</v>
      </c>
    </row>
    <row r="51" spans="1:12" ht="15.75">
      <c r="A51" s="2">
        <v>48</v>
      </c>
      <c r="B51" s="1" t="s">
        <v>59</v>
      </c>
      <c r="C51" s="13" t="s">
        <v>173</v>
      </c>
      <c r="D51" s="10">
        <v>4</v>
      </c>
      <c r="E51" s="13" t="s">
        <v>174</v>
      </c>
      <c r="F51" s="1" t="s">
        <v>82</v>
      </c>
      <c r="G51" s="1" t="s">
        <v>17</v>
      </c>
      <c r="H51" s="1" t="s">
        <v>24</v>
      </c>
      <c r="I51" s="8">
        <v>0.3</v>
      </c>
      <c r="J51" s="8">
        <f>I51*4</f>
        <v>1.2</v>
      </c>
      <c r="K51" s="7" t="s">
        <v>18</v>
      </c>
      <c r="L51" s="1" t="s">
        <v>129</v>
      </c>
    </row>
    <row r="52" spans="1:12" ht="15.75">
      <c r="A52" s="22">
        <v>49</v>
      </c>
      <c r="B52" s="1" t="s">
        <v>84</v>
      </c>
      <c r="C52" s="13" t="s">
        <v>175</v>
      </c>
      <c r="D52" s="10">
        <v>1</v>
      </c>
      <c r="E52" s="13" t="s">
        <v>176</v>
      </c>
      <c r="F52" s="1"/>
      <c r="G52" s="1" t="s">
        <v>167</v>
      </c>
      <c r="H52" s="1" t="s">
        <v>24</v>
      </c>
      <c r="I52" s="8">
        <v>3.7</v>
      </c>
      <c r="J52" s="8">
        <v>3.7</v>
      </c>
      <c r="K52" s="3" t="s">
        <v>18</v>
      </c>
      <c r="L52" s="23" t="s">
        <v>177</v>
      </c>
    </row>
    <row r="53" spans="1:12" ht="15.75">
      <c r="A53" s="9"/>
      <c r="B53" s="9"/>
      <c r="C53" s="9"/>
      <c r="D53" s="14"/>
      <c r="E53" s="9"/>
      <c r="F53" s="9"/>
      <c r="G53" s="9"/>
      <c r="H53" s="9"/>
      <c r="I53" s="18" t="s">
        <v>178</v>
      </c>
      <c r="J53" s="20">
        <f>SUM(J4:J52)</f>
        <v>4528.3600000000006</v>
      </c>
      <c r="K53" s="9"/>
      <c r="L53" s="9"/>
    </row>
    <row r="54" spans="1:12" ht="15.75">
      <c r="A54" s="9"/>
      <c r="B54" s="9"/>
      <c r="C54" s="9"/>
      <c r="D54" s="9"/>
      <c r="E54" s="9"/>
      <c r="F54" s="9"/>
      <c r="G54" s="9"/>
      <c r="H54" s="9"/>
      <c r="I54" s="11" t="s">
        <v>179</v>
      </c>
      <c r="J54" s="8">
        <f>J53*2</f>
        <v>9056.7200000000012</v>
      </c>
      <c r="K54" s="9"/>
      <c r="L54" s="9"/>
    </row>
    <row r="55" spans="1:12" ht="15.7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9" spans="1:12" ht="15.75">
      <c r="E59" s="15"/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2026-05-11T10:55:37Z</dcterms:created>
  <dcterms:modified xsi:type="dcterms:W3CDTF">2026-09-30T18:12:30Z</dcterms:modified>
  <cp:category/>
  <cp:contentStatus/>
</cp:coreProperties>
</file>